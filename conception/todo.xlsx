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to_do" sheetId="2" r:id="rId6"/>
    <sheet state="visible" name="recap" sheetId="3" r:id="rId7"/>
    <sheet state="visible" name="detail_avancement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<sst xmlns="http://schemas.openxmlformats.org/spreadsheetml/2006/main" count="261" uniqueCount="87">
  <si>
    <t>ETU003082</t>
  </si>
  <si>
    <t>ANDRIAMANANTENA Falisoa Haris Ryan</t>
  </si>
  <si>
    <t>ETU003224</t>
  </si>
  <si>
    <t>RAZANAKOTO Miharisoa Hasimanitriniaina</t>
  </si>
  <si>
    <t>Catégorie</t>
  </si>
  <si>
    <t>Module</t>
  </si>
  <si>
    <t>Pages</t>
  </si>
  <si>
    <t>Taches</t>
  </si>
  <si>
    <t>Type</t>
  </si>
  <si>
    <t>Qui</t>
  </si>
  <si>
    <t>Estimation</t>
  </si>
  <si>
    <t>Temps passé</t>
  </si>
  <si>
    <t>Reste à faire</t>
  </si>
  <si>
    <t>Avancement</t>
  </si>
  <si>
    <t>Shared</t>
  </si>
  <si>
    <t>Conception</t>
  </si>
  <si>
    <t>MCD looping</t>
  </si>
  <si>
    <t>Base</t>
  </si>
  <si>
    <t>Initialisation</t>
  </si>
  <si>
    <t>Initialisation du projet + Docker + init commit sur GITHUB</t>
  </si>
  <si>
    <t>Init</t>
  </si>
  <si>
    <t>Creation des models suivant le MCD (constructors + getters + setters)</t>
  </si>
  <si>
    <t>Backoffice</t>
  </si>
  <si>
    <t>Article management</t>
  </si>
  <si>
    <t>article-add</t>
  </si>
  <si>
    <t>Form Create (Use TinyMCE)</t>
  </si>
  <si>
    <t>Affichage</t>
  </si>
  <si>
    <t>article-edit</t>
  </si>
  <si>
    <t>Form Edit (Use TinyMCE again)</t>
  </si>
  <si>
    <t xml:space="preserve">Backoffice </t>
  </si>
  <si>
    <t>article-list-admin</t>
  </si>
  <si>
    <t>List Article</t>
  </si>
  <si>
    <t>Col</t>
  </si>
  <si>
    <t>Currently Working on</t>
  </si>
  <si>
    <t>article-detail</t>
  </si>
  <si>
    <t>Consult article</t>
  </si>
  <si>
    <t>for 3082</t>
  </si>
  <si>
    <t>Button Edit and Delete Article</t>
  </si>
  <si>
    <t>for 3224</t>
  </si>
  <si>
    <t>article-add &amp; edit</t>
  </si>
  <si>
    <t>Save: Generate Slug title</t>
  </si>
  <si>
    <t>Metier</t>
  </si>
  <si>
    <t>Save condition: if created_at is null then use date.now(), else do nothing to avoid erasing OG date</t>
  </si>
  <si>
    <t>Edit, Delete</t>
  </si>
  <si>
    <t>article-list</t>
  </si>
  <si>
    <t>Get All</t>
  </si>
  <si>
    <t>Article</t>
  </si>
  <si>
    <t>Integration CUD</t>
  </si>
  <si>
    <t>Integration</t>
  </si>
  <si>
    <t>Integration R</t>
  </si>
  <si>
    <t>User Management</t>
  </si>
  <si>
    <t>login-form</t>
  </si>
  <si>
    <t>Form login, mainly for Admin rn + "Visit as guest" option link to access F.O without credentials</t>
  </si>
  <si>
    <t>"Visit as guest"</t>
  </si>
  <si>
    <t>Check login credentials</t>
  </si>
  <si>
    <t>Redirect to article-list (guest or other) or redirect to article-list-admin (admin)</t>
  </si>
  <si>
    <t>Integration Login</t>
  </si>
  <si>
    <t>Frontoffice</t>
  </si>
  <si>
    <t>Copy Paste page from the backoffice but remove the edit, add, delete</t>
  </si>
  <si>
    <t>Reuse the same page as the one in backoffice</t>
  </si>
  <si>
    <t>Get All: Reuse same func established in the B.O</t>
  </si>
  <si>
    <t>Get Specific Article</t>
  </si>
  <si>
    <t>Get Spe.Arti: Rewrite URL using &lt; ID-Created_At-Slug&gt;.html format</t>
  </si>
  <si>
    <t>Get Spe.Arti: Set the content of the "article-detail" page to the Article.content</t>
  </si>
  <si>
    <t>uploadImage: Instead of putting the image binary inside the article.content, use an upload to min the char stored in db</t>
  </si>
  <si>
    <t>uploadImage: optimization of image size + jpg compression (changed to webp in the end)</t>
  </si>
  <si>
    <t>Refactorisation</t>
  </si>
  <si>
    <t>Refactor all the previous Java Spring Boot -&gt; Php Vanilla w/ AI help</t>
  </si>
  <si>
    <t>Optimisation</t>
  </si>
  <si>
    <t>compression gzip</t>
  </si>
  <si>
    <t xml:space="preserve">ajout de balise meta </t>
  </si>
  <si>
    <t>cdn to local font + js</t>
  </si>
  <si>
    <t>minify css</t>
  </si>
  <si>
    <t>caching js and css</t>
  </si>
  <si>
    <t>Fix</t>
  </si>
  <si>
    <t>fix list redirection if connected as admin (only show the list for the admin, not the guest's)</t>
  </si>
  <si>
    <t>adding cover image upload</t>
  </si>
  <si>
    <t>adding cover image upload form</t>
  </si>
  <si>
    <t>handle cover image upload: reuse the imageUpload function, just modify the path to uploads/cover</t>
  </si>
  <si>
    <t>Document Technique</t>
  </si>
  <si>
    <t>SUM de Estimation</t>
  </si>
  <si>
    <t>SUM de Temps passé</t>
  </si>
  <si>
    <t>SUM de Reste à faire</t>
  </si>
  <si>
    <t>AVERAGE de Avancement</t>
  </si>
  <si>
    <t>Total général</t>
  </si>
  <si>
    <t>Ligne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</si>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</sst>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0.0"/>
      <color rgb="FF000000"/>
      <name val="Arial"/>
      <scheme val="minor"/>
    </font>
    <font>
      <color rgb="FF000000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color rgb="FF9900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theme="9"/>
        <bgColor theme="9"/>
      </patternFill>
    </fill>
    <fill>
      <patternFill patternType="solid">
        <fgColor rgb="FFF553B1"/>
        <bgColor rgb="FFF553B1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5DCF7"/>
        <bgColor rgb="FF95DCF7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Font="1"/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4" fontId="4" numFmtId="10" xfId="0" applyAlignment="1" applyBorder="1" applyFill="1" applyFont="1" applyNumberFormat="1">
      <alignment horizontal="right" vertical="bottom"/>
    </xf>
    <xf borderId="0" fillId="0" fontId="3" numFmtId="0" xfId="0" applyAlignment="1" applyFont="1">
      <alignment readingOrder="0"/>
    </xf>
    <xf borderId="1" fillId="3" fontId="3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shrinkToFit="0" vertical="bottom" wrapText="0"/>
    </xf>
    <xf borderId="1" fillId="5" fontId="3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6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readingOrder="0"/>
    </xf>
    <xf borderId="1" fillId="7" fontId="3" numFmtId="0" xfId="0" applyBorder="1" applyFill="1" applyFont="1"/>
    <xf borderId="1" fillId="8" fontId="3" numFmtId="0" xfId="0" applyAlignment="1" applyBorder="1" applyFill="1" applyFont="1">
      <alignment readingOrder="0" vertical="bottom"/>
    </xf>
    <xf borderId="1" fillId="9" fontId="3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1" fillId="10" fontId="3" numFmtId="0" xfId="0" applyAlignment="1" applyBorder="1" applyFill="1" applyFont="1">
      <alignment readingOrder="0" vertical="bottom"/>
    </xf>
    <xf borderId="0" fillId="0" fontId="6" numFmtId="0" xfId="0" applyFont="1"/>
    <xf borderId="1" fillId="11" fontId="3" numFmtId="0" xfId="0" applyAlignment="1" applyBorder="1" applyFill="1" applyFont="1">
      <alignment readingOrder="0" vertical="bottom"/>
    </xf>
    <xf borderId="0" fillId="0" fontId="6" numFmtId="10" xfId="0" applyFont="1" applyNumberFormat="1"/>
    <xf borderId="1" fillId="12" fontId="7" numFmtId="0" xfId="0" applyAlignment="1" applyBorder="1" applyFill="1" applyFont="1">
      <alignment vertical="bottom"/>
    </xf>
    <xf borderId="1" fillId="3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horizontal="right" readingOrder="0" vertical="bottom"/>
    </xf>
    <xf borderId="2" fillId="13" fontId="8" numFmtId="0" xfId="0" applyAlignment="1" applyBorder="1" applyFill="1" applyFont="1">
      <alignment horizontal="right" vertical="bottom"/>
    </xf>
    <xf borderId="2" fillId="0" fontId="9" numFmtId="0" xfId="0" applyAlignment="1" applyBorder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2" fillId="0" fontId="9" numFmtId="0" xfId="0" applyAlignment="1" applyBorder="1" applyFont="1">
      <alignment horizontal="right" readingOrder="0" vertical="bottom"/>
    </xf>
    <xf borderId="2" fillId="13" fontId="8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3" sheet="to_do"/>
  </cacheSource>
  <cacheFields>
    <cacheField name="Catégorie" numFmtId="0">
      <sharedItems containsBlank="1">
        <s v="Shared"/>
        <s v="Backoffice"/>
        <s v="Backoffice "/>
        <m/>
        <s v="Frontoffice"/>
      </sharedItems>
    </cacheField>
    <cacheField name="Module" numFmtId="0">
      <sharedItems containsBlank="1">
        <s v="Conception"/>
        <s v="Initialisation"/>
        <s v="Article management"/>
        <s v="User Management"/>
        <m/>
        <s v="Refactorisation"/>
        <s v="Optimisation"/>
        <s v="Fix"/>
        <s v="Document Technique"/>
      </sharedItems>
    </cacheField>
    <cacheField name="Pages" numFmtId="0">
      <sharedItems containsBlank="1">
        <m/>
        <s v="article-add"/>
        <s v="article-edit"/>
        <s v="article-list-admin"/>
        <s v="article-detail"/>
        <s v="article-add &amp; edit"/>
        <s v="article-list"/>
        <s v="Article"/>
        <s v="login-form"/>
      </sharedItems>
    </cacheField>
    <cacheField name="Taches" numFmtId="0">
      <sharedItems containsBlank="1">
        <s v="MCD looping"/>
        <s v="Initialisation du projet + Docker + init commit sur GITHUB"/>
        <s v="Creation des models suivant le MCD (constructors + getters + setters)"/>
        <s v="Form Create (Use TinyMCE)"/>
        <s v="Form Edit (Use TinyMCE again)"/>
        <s v="List Article"/>
        <s v="Consult article"/>
        <s v="Button Edit and Delete Article"/>
        <s v="Save: Generate Slug title"/>
        <s v="Save condition: if created_at is null then use date.now(), else do nothing to avoid erasing OG date"/>
        <s v="Edit, Delete"/>
        <s v="Get All"/>
        <s v="Integration CUD"/>
        <s v="Integration R"/>
        <s v="Form login, mainly for Admin rn + &quot;Visit as guest&quot; option link to access F.O without credentials"/>
        <s v="&quot;Visit as guest&quot;"/>
        <s v="Check login credentials"/>
        <s v="Redirect to article-list (guest or other) or redirect to article-list-admin (admin)"/>
        <s v="Integration Login"/>
        <m/>
        <s v="Copy Paste page from the backoffice but remove the edit, add, delete"/>
        <s v="Reuse the same page as the one in backoffice"/>
        <s v="Get All: Reuse same func established in the B.O"/>
        <s v="Get Specific Article"/>
        <s v="Get Spe.Arti: Rewrite URL using &lt; ID-Created_At-Slug&gt;.html format"/>
        <s v="Get Spe.Arti: Set the content of the &quot;article-detail&quot; page to the Article.content"/>
        <s v="uploadImage: Instead of putting the image binary inside the article.content, use an upload to min the char stored in db"/>
        <s v="uploadImage: optimization of image size + jpg compression (changed to webp in the end)"/>
        <s v="Refactor all the previous Java Spring Boot -&gt; Php Vanilla w/ AI help"/>
        <s v="compression gzip"/>
        <s v="ajout de balise meta "/>
        <s v="cdn to local font + js"/>
        <s v="minify css"/>
        <s v="caching js and css"/>
        <s v="fix list redirection if connected as admin (only show the list for the admin, not the guest's)"/>
        <s v="adding cover image upload"/>
        <s v="adding cover image upload form"/>
        <s v="handle cover image upload: reuse the imageUpload function, just modify the path to uploads/cover"/>
      </sharedItems>
    </cacheField>
    <cacheField name="Type" numFmtId="0">
      <sharedItems containsBlank="1">
        <s v="Base"/>
        <s v="Init"/>
        <s v="Affichage"/>
        <s v="Metier"/>
        <s v="Integration"/>
        <m/>
      </sharedItems>
    </cacheField>
    <cacheField name="Qui" numFmtId="0">
      <sharedItems containsBlank="1">
        <s v="ETU003224"/>
        <s v="ETU003082"/>
        <m/>
      </sharedItems>
    </cacheField>
    <cacheField name="Estimation" numFmtId="0">
      <sharedItems containsString="0" containsBlank="1" containsNumber="1" containsInteger="1">
        <n v="10.0"/>
        <n v="15.0"/>
        <n v="2.0"/>
        <n v="5.0"/>
        <n v="17.0"/>
        <n v="40.0"/>
        <n v="20.0"/>
        <n v="3.0"/>
        <m/>
        <n v="25.0"/>
        <n v="35.0"/>
        <n v="30.0"/>
      </sharedItems>
    </cacheField>
    <cacheField name="Temps passé" numFmtId="0">
      <sharedItems containsString="0" containsBlank="1" containsNumber="1" containsInteger="1">
        <n v="10.0"/>
        <n v="15.0"/>
        <n v="3.0"/>
        <n v="7.0"/>
        <n v="17.0"/>
        <n v="5.0"/>
        <n v="40.0"/>
        <n v="20.0"/>
        <n v="2.0"/>
        <m/>
        <n v="25.0"/>
        <n v="35.0"/>
        <n v="30.0"/>
      </sharedItems>
    </cacheField>
    <cacheField name="Reste à faire" numFmtId="0">
      <sharedItems containsString="0" containsBlank="1" containsNumber="1" containsInteger="1">
        <n v="0.0"/>
        <m/>
      </sharedItems>
    </cacheField>
    <cacheField name="Avancement" numFmtId="10">
      <sharedItems containsString="0" containsBlank="1" containsNumber="1" containsInteger="1"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E4" firstHeaderRow="0" firstDataRow="2" firstDataCol="0"/>
  <pivotFields>
    <pivotField name="Catégori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du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ag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i" axis="axisRow" compact="0" outline="0" multipleItemSelectionAllowed="1" showAll="0" sortType="ascending">
      <items>
        <item h="1" x="2"/>
        <item x="1"/>
        <item x="0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ste à faire" dataField="1" compact="0" outline="0" multipleItemSelectionAllowed="1" showAll="0">
      <items>
        <item x="0"/>
        <item x="1"/>
        <item t="default"/>
      </items>
    </pivotField>
    <pivotField name="Avancement" dataField="1" compact="0" numFmtId="10" outline="0" multipleItemSelectionAllowed="1" showAll="0">
      <items>
        <item x="0"/>
        <item x="1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  <dataField name="AVERAGE of Avancement" fld="9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75"/>
    <col customWidth="1" min="3" max="3" width="14.0"/>
    <col customWidth="1" min="4" max="4" width="88.0"/>
    <col customWidth="1" min="5" max="5" width="8.88"/>
    <col customWidth="1" min="6" max="6" width="9.88"/>
    <col customWidth="1" min="8" max="8" width="12.5"/>
    <col customWidth="1" min="9" max="9" width="11.88"/>
    <col customWidth="1" min="11" max="11" width="7.63"/>
    <col customWidth="1" min="12" max="12" width="5.75"/>
    <col customWidth="1" min="13" max="13" width="19.63"/>
  </cols>
  <sheetData>
    <row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3" t="s">
        <v>13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14</v>
      </c>
      <c r="B2" s="6" t="s">
        <v>15</v>
      </c>
      <c r="C2" s="7"/>
      <c r="D2" s="7" t="s">
        <v>16</v>
      </c>
      <c r="E2" s="7" t="s">
        <v>17</v>
      </c>
      <c r="F2" s="5" t="s">
        <v>2</v>
      </c>
      <c r="G2" s="8">
        <v>10.0</v>
      </c>
      <c r="H2" s="9">
        <f>detail_avancement!B2</f>
        <v>10</v>
      </c>
      <c r="I2" s="8">
        <v>0.0</v>
      </c>
      <c r="J2" s="10">
        <f t="shared" ref="J2:J20" si="1">IFERROR(ROUND(H2/(H2+I2),2), "")</f>
        <v>1</v>
      </c>
      <c r="K2" s="4"/>
      <c r="L2" s="4"/>
      <c r="M2" s="4"/>
      <c r="N2" s="11"/>
      <c r="O2" s="11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14</v>
      </c>
      <c r="B3" s="12" t="s">
        <v>18</v>
      </c>
      <c r="C3" s="7"/>
      <c r="D3" s="13" t="s">
        <v>19</v>
      </c>
      <c r="E3" s="13" t="s">
        <v>20</v>
      </c>
      <c r="F3" s="7" t="s">
        <v>0</v>
      </c>
      <c r="G3" s="8">
        <v>15.0</v>
      </c>
      <c r="H3" s="9">
        <f>detail_avancement!B3</f>
        <v>15</v>
      </c>
      <c r="I3" s="8">
        <v>0.0</v>
      </c>
      <c r="J3" s="10">
        <f t="shared" si="1"/>
        <v>1</v>
      </c>
      <c r="K3" s="4"/>
      <c r="L3" s="11"/>
      <c r="M3" s="11"/>
      <c r="N3" s="4"/>
      <c r="O3" s="11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12" t="s">
        <v>18</v>
      </c>
      <c r="C4" s="7"/>
      <c r="D4" s="5" t="s">
        <v>21</v>
      </c>
      <c r="E4" s="5" t="s">
        <v>20</v>
      </c>
      <c r="F4" s="7" t="s">
        <v>0</v>
      </c>
      <c r="G4" s="8">
        <v>15.0</v>
      </c>
      <c r="H4" s="9">
        <f>detail_avancement!B4</f>
        <v>15</v>
      </c>
      <c r="I4" s="8">
        <v>0.0</v>
      </c>
      <c r="J4" s="10">
        <f t="shared" si="1"/>
        <v>1</v>
      </c>
      <c r="K4" s="4"/>
      <c r="L4" s="4"/>
      <c r="M4" s="11"/>
      <c r="N4" s="4"/>
      <c r="O4" s="11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22</v>
      </c>
      <c r="B5" s="14" t="s">
        <v>23</v>
      </c>
      <c r="C5" s="5" t="s">
        <v>24</v>
      </c>
      <c r="D5" s="5" t="s">
        <v>25</v>
      </c>
      <c r="E5" s="13" t="s">
        <v>26</v>
      </c>
      <c r="F5" s="7" t="s">
        <v>0</v>
      </c>
      <c r="G5" s="8">
        <v>15.0</v>
      </c>
      <c r="H5" s="9">
        <f>detail_avancement!B5</f>
        <v>10</v>
      </c>
      <c r="I5" s="8">
        <v>0.0</v>
      </c>
      <c r="J5" s="10">
        <f t="shared" si="1"/>
        <v>1</v>
      </c>
      <c r="K5" s="4"/>
      <c r="L5" s="4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22</v>
      </c>
      <c r="B6" s="14" t="s">
        <v>23</v>
      </c>
      <c r="C6" s="5" t="s">
        <v>27</v>
      </c>
      <c r="D6" s="5" t="s">
        <v>28</v>
      </c>
      <c r="E6" s="13" t="s">
        <v>26</v>
      </c>
      <c r="F6" s="7" t="s">
        <v>0</v>
      </c>
      <c r="G6" s="8">
        <v>10.0</v>
      </c>
      <c r="H6" s="9">
        <f>detail_avancement!B6</f>
        <v>15</v>
      </c>
      <c r="I6" s="8">
        <v>0.0</v>
      </c>
      <c r="J6" s="10">
        <f t="shared" si="1"/>
        <v>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29</v>
      </c>
      <c r="B7" s="14" t="s">
        <v>23</v>
      </c>
      <c r="C7" s="5" t="s">
        <v>30</v>
      </c>
      <c r="D7" s="5" t="s">
        <v>31</v>
      </c>
      <c r="E7" s="13" t="s">
        <v>26</v>
      </c>
      <c r="F7" s="5" t="s">
        <v>2</v>
      </c>
      <c r="G7" s="8">
        <v>15.0</v>
      </c>
      <c r="H7" s="9">
        <f>detail_avancement!B7</f>
        <v>15</v>
      </c>
      <c r="I7" s="8">
        <v>0.0</v>
      </c>
      <c r="J7" s="10">
        <f t="shared" si="1"/>
        <v>1</v>
      </c>
      <c r="K7" s="4"/>
      <c r="L7" s="15" t="s">
        <v>32</v>
      </c>
      <c r="M7" s="15" t="s">
        <v>33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29</v>
      </c>
      <c r="B8" s="14" t="s">
        <v>23</v>
      </c>
      <c r="C8" s="5" t="s">
        <v>34</v>
      </c>
      <c r="D8" s="5" t="s">
        <v>35</v>
      </c>
      <c r="E8" s="13" t="s">
        <v>26</v>
      </c>
      <c r="F8" s="5" t="s">
        <v>2</v>
      </c>
      <c r="G8" s="8">
        <v>10.0</v>
      </c>
      <c r="H8" s="9">
        <f>detail_avancement!B8</f>
        <v>10</v>
      </c>
      <c r="I8" s="8">
        <v>0.0</v>
      </c>
      <c r="J8" s="10">
        <f t="shared" si="1"/>
        <v>1</v>
      </c>
      <c r="K8" s="4"/>
      <c r="L8" s="16"/>
      <c r="M8" s="17" t="s">
        <v>36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22</v>
      </c>
      <c r="B9" s="14" t="s">
        <v>23</v>
      </c>
      <c r="C9" s="5" t="s">
        <v>30</v>
      </c>
      <c r="D9" s="5" t="s">
        <v>37</v>
      </c>
      <c r="E9" s="13" t="s">
        <v>26</v>
      </c>
      <c r="F9" s="5" t="s">
        <v>2</v>
      </c>
      <c r="G9" s="8">
        <v>2.0</v>
      </c>
      <c r="H9" s="9">
        <f>detail_avancement!B9</f>
        <v>3</v>
      </c>
      <c r="I9" s="8">
        <v>0.0</v>
      </c>
      <c r="J9" s="10">
        <f t="shared" si="1"/>
        <v>1</v>
      </c>
      <c r="K9" s="4"/>
      <c r="L9" s="18"/>
      <c r="M9" s="17" t="s">
        <v>38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22</v>
      </c>
      <c r="B10" s="14" t="s">
        <v>23</v>
      </c>
      <c r="C10" s="5" t="s">
        <v>39</v>
      </c>
      <c r="D10" s="5" t="s">
        <v>40</v>
      </c>
      <c r="E10" s="13" t="s">
        <v>41</v>
      </c>
      <c r="F10" s="7" t="s">
        <v>0</v>
      </c>
      <c r="G10" s="8">
        <v>10.0</v>
      </c>
      <c r="H10" s="9">
        <f>detail_avancement!B10</f>
        <v>7</v>
      </c>
      <c r="I10" s="8">
        <v>0.0</v>
      </c>
      <c r="J10" s="10">
        <f t="shared" si="1"/>
        <v>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22</v>
      </c>
      <c r="B11" s="14" t="s">
        <v>23</v>
      </c>
      <c r="C11" s="5" t="s">
        <v>39</v>
      </c>
      <c r="D11" s="5" t="s">
        <v>42</v>
      </c>
      <c r="E11" s="13" t="s">
        <v>41</v>
      </c>
      <c r="F11" s="7" t="s">
        <v>0</v>
      </c>
      <c r="G11" s="8">
        <v>5.0</v>
      </c>
      <c r="H11" s="9">
        <f>detail_avancement!B11</f>
        <v>17</v>
      </c>
      <c r="I11" s="8">
        <v>0.0</v>
      </c>
      <c r="J11" s="10">
        <f t="shared" si="1"/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22</v>
      </c>
      <c r="B12" s="14" t="s">
        <v>23</v>
      </c>
      <c r="C12" s="5" t="s">
        <v>27</v>
      </c>
      <c r="D12" s="5" t="s">
        <v>43</v>
      </c>
      <c r="E12" s="13" t="s">
        <v>41</v>
      </c>
      <c r="F12" s="7" t="s">
        <v>0</v>
      </c>
      <c r="G12" s="8">
        <v>5.0</v>
      </c>
      <c r="H12" s="9">
        <f>detail_avancement!B12</f>
        <v>5</v>
      </c>
      <c r="I12" s="8">
        <v>0.0</v>
      </c>
      <c r="J12" s="10">
        <f t="shared" si="1"/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29</v>
      </c>
      <c r="B13" s="14" t="s">
        <v>23</v>
      </c>
      <c r="C13" s="5" t="s">
        <v>44</v>
      </c>
      <c r="D13" s="5" t="s">
        <v>45</v>
      </c>
      <c r="E13" s="13" t="s">
        <v>41</v>
      </c>
      <c r="F13" s="5" t="s">
        <v>2</v>
      </c>
      <c r="G13" s="8">
        <v>17.0</v>
      </c>
      <c r="H13" s="8">
        <v>15.0</v>
      </c>
      <c r="I13" s="8">
        <v>0.0</v>
      </c>
      <c r="J13" s="10">
        <f t="shared" si="1"/>
        <v>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22</v>
      </c>
      <c r="B14" s="14" t="s">
        <v>23</v>
      </c>
      <c r="C14" s="5" t="s">
        <v>46</v>
      </c>
      <c r="D14" s="5" t="s">
        <v>47</v>
      </c>
      <c r="E14" s="13" t="s">
        <v>48</v>
      </c>
      <c r="F14" s="7" t="s">
        <v>0</v>
      </c>
      <c r="G14" s="8">
        <v>40.0</v>
      </c>
      <c r="H14" s="8">
        <v>40.0</v>
      </c>
      <c r="I14" s="8">
        <v>0.0</v>
      </c>
      <c r="J14" s="10">
        <f t="shared" si="1"/>
        <v>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14</v>
      </c>
      <c r="B15" s="14" t="s">
        <v>23</v>
      </c>
      <c r="C15" s="5" t="s">
        <v>46</v>
      </c>
      <c r="D15" s="5" t="s">
        <v>49</v>
      </c>
      <c r="E15" s="13" t="s">
        <v>48</v>
      </c>
      <c r="F15" s="5" t="s">
        <v>2</v>
      </c>
      <c r="G15" s="8">
        <v>20.0</v>
      </c>
      <c r="H15" s="9">
        <f>detail_avancement!B15</f>
        <v>20</v>
      </c>
      <c r="I15" s="8">
        <v>0.0</v>
      </c>
      <c r="J15" s="10">
        <f t="shared" si="1"/>
        <v>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14</v>
      </c>
      <c r="B16" s="19" t="s">
        <v>50</v>
      </c>
      <c r="C16" s="5" t="s">
        <v>51</v>
      </c>
      <c r="D16" s="5" t="s">
        <v>52</v>
      </c>
      <c r="E16" s="13" t="s">
        <v>26</v>
      </c>
      <c r="F16" s="7" t="s">
        <v>0</v>
      </c>
      <c r="G16" s="8">
        <v>10.0</v>
      </c>
      <c r="H16" s="9">
        <f>detail_avancement!B16</f>
        <v>10</v>
      </c>
      <c r="I16" s="8">
        <v>0.0</v>
      </c>
      <c r="J16" s="10">
        <f t="shared" si="1"/>
        <v>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14</v>
      </c>
      <c r="B17" s="19" t="s">
        <v>50</v>
      </c>
      <c r="C17" s="5" t="s">
        <v>51</v>
      </c>
      <c r="D17" s="5" t="s">
        <v>53</v>
      </c>
      <c r="E17" s="13" t="s">
        <v>41</v>
      </c>
      <c r="F17" s="5" t="s">
        <v>2</v>
      </c>
      <c r="G17" s="8">
        <v>5.0</v>
      </c>
      <c r="H17" s="9">
        <f>detail_avancement!B17</f>
        <v>5</v>
      </c>
      <c r="I17" s="8">
        <v>0.0</v>
      </c>
      <c r="J17" s="10">
        <f t="shared" si="1"/>
        <v>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14</v>
      </c>
      <c r="B18" s="19" t="s">
        <v>50</v>
      </c>
      <c r="C18" s="5" t="s">
        <v>51</v>
      </c>
      <c r="D18" s="5" t="s">
        <v>54</v>
      </c>
      <c r="E18" s="13" t="s">
        <v>41</v>
      </c>
      <c r="F18" s="7" t="s">
        <v>0</v>
      </c>
      <c r="G18" s="8">
        <v>10.0</v>
      </c>
      <c r="H18" s="9">
        <f>detail_avancement!B18</f>
        <v>10</v>
      </c>
      <c r="I18" s="8">
        <v>0.0</v>
      </c>
      <c r="J18" s="10">
        <f t="shared" si="1"/>
        <v>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14</v>
      </c>
      <c r="B19" s="19" t="s">
        <v>50</v>
      </c>
      <c r="C19" s="5" t="s">
        <v>51</v>
      </c>
      <c r="D19" s="5" t="s">
        <v>55</v>
      </c>
      <c r="E19" s="13" t="s">
        <v>41</v>
      </c>
      <c r="F19" s="5" t="s">
        <v>2</v>
      </c>
      <c r="G19" s="8">
        <v>3.0</v>
      </c>
      <c r="H19" s="9">
        <f>detail_avancement!B19</f>
        <v>2</v>
      </c>
      <c r="I19" s="8">
        <v>0.0</v>
      </c>
      <c r="J19" s="10">
        <f t="shared" si="1"/>
        <v>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14</v>
      </c>
      <c r="B20" s="19" t="s">
        <v>50</v>
      </c>
      <c r="C20" s="5" t="s">
        <v>51</v>
      </c>
      <c r="D20" s="5" t="s">
        <v>56</v>
      </c>
      <c r="E20" s="13" t="s">
        <v>48</v>
      </c>
      <c r="F20" s="5" t="s">
        <v>2</v>
      </c>
      <c r="G20" s="8">
        <v>10.0</v>
      </c>
      <c r="H20" s="9">
        <f>detail_avancement!B20</f>
        <v>10</v>
      </c>
      <c r="I20" s="8">
        <v>0.0</v>
      </c>
      <c r="J20" s="10">
        <f t="shared" si="1"/>
        <v>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57</v>
      </c>
      <c r="B22" s="20" t="s">
        <v>23</v>
      </c>
      <c r="C22" s="5" t="s">
        <v>44</v>
      </c>
      <c r="D22" s="5" t="s">
        <v>58</v>
      </c>
      <c r="E22" s="13" t="s">
        <v>26</v>
      </c>
      <c r="F22" s="5" t="s">
        <v>2</v>
      </c>
      <c r="G22" s="8">
        <v>5.0</v>
      </c>
      <c r="H22" s="9">
        <f>detail_avancement!B22</f>
        <v>3</v>
      </c>
      <c r="I22" s="8">
        <v>0.0</v>
      </c>
      <c r="J22" s="10">
        <f t="shared" ref="J22:J27" si="2">IFERROR(ROUND(H22/(H22+I22),2), "")</f>
        <v>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57</v>
      </c>
      <c r="B23" s="20" t="s">
        <v>23</v>
      </c>
      <c r="C23" s="5" t="s">
        <v>34</v>
      </c>
      <c r="D23" s="5" t="s">
        <v>59</v>
      </c>
      <c r="E23" s="13" t="s">
        <v>26</v>
      </c>
      <c r="F23" s="5" t="s">
        <v>2</v>
      </c>
      <c r="G23" s="8">
        <v>5.0</v>
      </c>
      <c r="H23" s="9">
        <f>detail_avancement!B23</f>
        <v>3</v>
      </c>
      <c r="I23" s="8">
        <v>0.0</v>
      </c>
      <c r="J23" s="10">
        <f t="shared" si="2"/>
        <v>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57</v>
      </c>
      <c r="B24" s="20" t="s">
        <v>23</v>
      </c>
      <c r="C24" s="5" t="s">
        <v>44</v>
      </c>
      <c r="D24" s="5" t="s">
        <v>60</v>
      </c>
      <c r="E24" s="13" t="s">
        <v>41</v>
      </c>
      <c r="F24" s="5" t="s">
        <v>2</v>
      </c>
      <c r="G24" s="8">
        <v>5.0</v>
      </c>
      <c r="H24" s="9">
        <f>detail_avancement!B24</f>
        <v>2</v>
      </c>
      <c r="I24" s="8">
        <v>0.0</v>
      </c>
      <c r="J24" s="10">
        <f t="shared" si="2"/>
        <v>1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57</v>
      </c>
      <c r="B25" s="20" t="s">
        <v>23</v>
      </c>
      <c r="C25" s="5" t="s">
        <v>34</v>
      </c>
      <c r="D25" s="5" t="s">
        <v>61</v>
      </c>
      <c r="E25" s="13" t="s">
        <v>41</v>
      </c>
      <c r="F25" s="5" t="s">
        <v>2</v>
      </c>
      <c r="G25" s="8">
        <v>10.0</v>
      </c>
      <c r="H25" s="9">
        <f>detail_avancement!B25</f>
        <v>10</v>
      </c>
      <c r="I25" s="8">
        <v>0.0</v>
      </c>
      <c r="J25" s="10">
        <f t="shared" si="2"/>
        <v>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57</v>
      </c>
      <c r="B26" s="20" t="s">
        <v>23</v>
      </c>
      <c r="C26" s="5" t="s">
        <v>34</v>
      </c>
      <c r="D26" s="5" t="s">
        <v>62</v>
      </c>
      <c r="E26" s="13" t="s">
        <v>41</v>
      </c>
      <c r="F26" s="5" t="s">
        <v>2</v>
      </c>
      <c r="G26" s="8">
        <v>10.0</v>
      </c>
      <c r="H26" s="9">
        <f>detail_avancement!B26</f>
        <v>10</v>
      </c>
      <c r="I26" s="8">
        <v>0.0</v>
      </c>
      <c r="J26" s="10">
        <f t="shared" si="2"/>
        <v>1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57</v>
      </c>
      <c r="B27" s="20" t="s">
        <v>23</v>
      </c>
      <c r="C27" s="5" t="s">
        <v>34</v>
      </c>
      <c r="D27" s="5" t="s">
        <v>63</v>
      </c>
      <c r="E27" s="13" t="s">
        <v>48</v>
      </c>
      <c r="F27" s="5" t="s">
        <v>2</v>
      </c>
      <c r="G27" s="8">
        <v>10.0</v>
      </c>
      <c r="H27" s="9">
        <f>detail_avancement!B27</f>
        <v>10</v>
      </c>
      <c r="I27" s="8">
        <v>0.0</v>
      </c>
      <c r="J27" s="10">
        <f t="shared" si="2"/>
        <v>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1"/>
      <c r="B28" s="21"/>
      <c r="C28" s="21"/>
      <c r="D28" s="21"/>
      <c r="E28" s="22"/>
      <c r="F28" s="21"/>
      <c r="G28" s="23"/>
      <c r="H28" s="23"/>
      <c r="I28" s="23"/>
      <c r="J28" s="2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22</v>
      </c>
      <c r="B29" s="14" t="s">
        <v>23</v>
      </c>
      <c r="C29" s="5" t="s">
        <v>39</v>
      </c>
      <c r="D29" s="5" t="s">
        <v>64</v>
      </c>
      <c r="E29" s="13" t="s">
        <v>41</v>
      </c>
      <c r="F29" s="7" t="s">
        <v>0</v>
      </c>
      <c r="G29" s="8">
        <v>20.0</v>
      </c>
      <c r="H29" s="9">
        <f>detail_avancement!B29</f>
        <v>20</v>
      </c>
      <c r="I29" s="8">
        <v>0.0</v>
      </c>
      <c r="J29" s="10">
        <f t="shared" ref="J29:J30" si="3">IFERROR(ROUND(H29/(H29+I29),2), "")</f>
        <v>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22</v>
      </c>
      <c r="B30" s="14" t="s">
        <v>23</v>
      </c>
      <c r="C30" s="5" t="s">
        <v>39</v>
      </c>
      <c r="D30" s="5" t="s">
        <v>65</v>
      </c>
      <c r="E30" s="13" t="s">
        <v>41</v>
      </c>
      <c r="F30" s="7" t="s">
        <v>0</v>
      </c>
      <c r="G30" s="8">
        <v>15.0</v>
      </c>
      <c r="H30" s="9">
        <f>detail_avancement!B30</f>
        <v>15</v>
      </c>
      <c r="I30" s="8">
        <v>0.0</v>
      </c>
      <c r="J30" s="10">
        <f t="shared" si="3"/>
        <v>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22</v>
      </c>
      <c r="B32" s="12" t="s">
        <v>66</v>
      </c>
      <c r="C32" s="5"/>
      <c r="D32" s="5" t="s">
        <v>67</v>
      </c>
      <c r="E32" s="13" t="s">
        <v>26</v>
      </c>
      <c r="F32" s="7" t="s">
        <v>0</v>
      </c>
      <c r="G32" s="8">
        <v>20.0</v>
      </c>
      <c r="H32" s="9">
        <f>detail_avancement!B32</f>
        <v>20</v>
      </c>
      <c r="I32" s="8">
        <v>0.0</v>
      </c>
      <c r="J32" s="10">
        <f t="shared" ref="J32:J34" si="4">IFERROR(ROUND(H32/(H32+I32),2), "")</f>
        <v>1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22</v>
      </c>
      <c r="B33" s="12" t="s">
        <v>66</v>
      </c>
      <c r="C33" s="5"/>
      <c r="D33" s="5" t="s">
        <v>67</v>
      </c>
      <c r="E33" s="13" t="s">
        <v>41</v>
      </c>
      <c r="F33" s="7" t="s">
        <v>0</v>
      </c>
      <c r="G33" s="8">
        <v>25.0</v>
      </c>
      <c r="H33" s="9">
        <f>detail_avancement!B33</f>
        <v>25</v>
      </c>
      <c r="I33" s="8">
        <v>0.0</v>
      </c>
      <c r="J33" s="10">
        <f t="shared" si="4"/>
        <v>1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22</v>
      </c>
      <c r="B34" s="12" t="s">
        <v>66</v>
      </c>
      <c r="C34" s="5"/>
      <c r="D34" s="5" t="s">
        <v>67</v>
      </c>
      <c r="E34" s="13" t="s">
        <v>48</v>
      </c>
      <c r="F34" s="7" t="s">
        <v>0</v>
      </c>
      <c r="G34" s="8">
        <v>35.0</v>
      </c>
      <c r="H34" s="9">
        <f>detail_avancement!B34</f>
        <v>35</v>
      </c>
      <c r="I34" s="8">
        <v>0.0</v>
      </c>
      <c r="J34" s="10">
        <f t="shared" si="4"/>
        <v>1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14</v>
      </c>
      <c r="B36" s="19" t="s">
        <v>68</v>
      </c>
      <c r="C36" s="5"/>
      <c r="D36" s="5" t="s">
        <v>69</v>
      </c>
      <c r="E36" s="13" t="s">
        <v>41</v>
      </c>
      <c r="F36" s="5" t="s">
        <v>2</v>
      </c>
      <c r="G36" s="8">
        <v>5.0</v>
      </c>
      <c r="H36" s="9">
        <f>detail_avancement!B36</f>
        <v>5</v>
      </c>
      <c r="I36" s="8">
        <v>0.0</v>
      </c>
      <c r="J36" s="10">
        <f t="shared" ref="J36:J40" si="5">IFERROR(ROUND(H36/(H36+I36),2), "")</f>
        <v>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14</v>
      </c>
      <c r="B37" s="19" t="s">
        <v>68</v>
      </c>
      <c r="C37" s="5"/>
      <c r="D37" s="5" t="s">
        <v>70</v>
      </c>
      <c r="E37" s="13" t="s">
        <v>41</v>
      </c>
      <c r="F37" s="5" t="s">
        <v>2</v>
      </c>
      <c r="G37" s="8">
        <v>5.0</v>
      </c>
      <c r="H37" s="9">
        <f>detail_avancement!B37</f>
        <v>5</v>
      </c>
      <c r="I37" s="8">
        <v>0.0</v>
      </c>
      <c r="J37" s="10">
        <f t="shared" si="5"/>
        <v>1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14</v>
      </c>
      <c r="B38" s="19" t="s">
        <v>68</v>
      </c>
      <c r="C38" s="5"/>
      <c r="D38" s="5" t="s">
        <v>71</v>
      </c>
      <c r="E38" s="13" t="s">
        <v>41</v>
      </c>
      <c r="F38" s="7" t="s">
        <v>0</v>
      </c>
      <c r="G38" s="8">
        <v>5.0</v>
      </c>
      <c r="H38" s="9">
        <f>detail_avancement!B38</f>
        <v>5</v>
      </c>
      <c r="I38" s="8">
        <v>0.0</v>
      </c>
      <c r="J38" s="10">
        <f t="shared" si="5"/>
        <v>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14</v>
      </c>
      <c r="B39" s="19" t="s">
        <v>68</v>
      </c>
      <c r="C39" s="5"/>
      <c r="D39" s="5" t="s">
        <v>72</v>
      </c>
      <c r="E39" s="13" t="s">
        <v>41</v>
      </c>
      <c r="F39" s="7" t="s">
        <v>0</v>
      </c>
      <c r="G39" s="8">
        <v>5.0</v>
      </c>
      <c r="H39" s="9">
        <f>detail_avancement!B39</f>
        <v>5</v>
      </c>
      <c r="I39" s="8">
        <v>0.0</v>
      </c>
      <c r="J39" s="10">
        <f t="shared" si="5"/>
        <v>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14</v>
      </c>
      <c r="B40" s="19" t="s">
        <v>68</v>
      </c>
      <c r="C40" s="5"/>
      <c r="D40" s="5" t="s">
        <v>73</v>
      </c>
      <c r="E40" s="13" t="s">
        <v>41</v>
      </c>
      <c r="F40" s="7" t="s">
        <v>0</v>
      </c>
      <c r="G40" s="8">
        <v>5.0</v>
      </c>
      <c r="H40" s="9">
        <f>detail_avancement!B40</f>
        <v>5</v>
      </c>
      <c r="I40" s="8">
        <v>0.0</v>
      </c>
      <c r="J40" s="10">
        <f t="shared" si="5"/>
        <v>1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22</v>
      </c>
      <c r="B42" s="24" t="s">
        <v>74</v>
      </c>
      <c r="C42" s="5" t="s">
        <v>30</v>
      </c>
      <c r="D42" s="5" t="s">
        <v>75</v>
      </c>
      <c r="E42" s="13" t="s">
        <v>41</v>
      </c>
      <c r="F42" s="5" t="s">
        <v>2</v>
      </c>
      <c r="G42" s="8">
        <v>5.0</v>
      </c>
      <c r="H42" s="9">
        <f>detail_avancement!B42</f>
        <v>3</v>
      </c>
      <c r="I42" s="8">
        <v>0.0</v>
      </c>
      <c r="J42" s="10">
        <f>IFERROR(ROUND(H42/(H42+I42),2), "")</f>
        <v>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J43" s="2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14</v>
      </c>
      <c r="B44" s="6" t="s">
        <v>15</v>
      </c>
      <c r="C44" s="7"/>
      <c r="D44" s="5" t="s">
        <v>76</v>
      </c>
      <c r="E44" s="7" t="s">
        <v>17</v>
      </c>
      <c r="F44" s="5" t="s">
        <v>2</v>
      </c>
      <c r="G44" s="8">
        <v>5.0</v>
      </c>
      <c r="H44" s="9">
        <f>detail_avancement!B44</f>
        <v>3</v>
      </c>
      <c r="I44" s="8">
        <v>0.0</v>
      </c>
      <c r="J44" s="10">
        <f t="shared" ref="J44:J47" si="6">IFERROR(ROUND(H44/(H44+I44),2), "")</f>
        <v>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14</v>
      </c>
      <c r="B45" s="14" t="s">
        <v>23</v>
      </c>
      <c r="C45" s="5" t="s">
        <v>24</v>
      </c>
      <c r="D45" s="5" t="s">
        <v>77</v>
      </c>
      <c r="E45" s="5" t="s">
        <v>26</v>
      </c>
      <c r="F45" s="5" t="s">
        <v>2</v>
      </c>
      <c r="G45" s="8">
        <v>5.0</v>
      </c>
      <c r="H45" s="9">
        <f>detail_avancement!B45</f>
        <v>5</v>
      </c>
      <c r="I45" s="8">
        <v>0.0</v>
      </c>
      <c r="J45" s="10">
        <f t="shared" si="6"/>
        <v>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14</v>
      </c>
      <c r="B46" s="14" t="s">
        <v>23</v>
      </c>
      <c r="C46" s="5" t="s">
        <v>24</v>
      </c>
      <c r="D46" s="5" t="s">
        <v>78</v>
      </c>
      <c r="E46" s="5" t="s">
        <v>41</v>
      </c>
      <c r="F46" s="5" t="s">
        <v>2</v>
      </c>
      <c r="G46" s="8">
        <v>5.0</v>
      </c>
      <c r="H46" s="9">
        <f>detail_avancement!B46</f>
        <v>5</v>
      </c>
      <c r="I46" s="8">
        <v>0.0</v>
      </c>
      <c r="J46" s="10">
        <f t="shared" si="6"/>
        <v>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14</v>
      </c>
      <c r="B47" s="14" t="s">
        <v>23</v>
      </c>
      <c r="C47" s="5" t="s">
        <v>24</v>
      </c>
      <c r="D47" s="5" t="s">
        <v>76</v>
      </c>
      <c r="E47" s="5" t="s">
        <v>48</v>
      </c>
      <c r="F47" s="5" t="s">
        <v>2</v>
      </c>
      <c r="G47" s="8">
        <v>10.0</v>
      </c>
      <c r="H47" s="9">
        <f>detail_avancement!B47</f>
        <v>10</v>
      </c>
      <c r="I47" s="8">
        <v>0.0</v>
      </c>
      <c r="J47" s="10">
        <f t="shared" si="6"/>
        <v>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14</v>
      </c>
      <c r="B49" s="26" t="s">
        <v>79</v>
      </c>
      <c r="C49" s="7"/>
      <c r="D49" s="5" t="s">
        <v>76</v>
      </c>
      <c r="E49" s="5" t="s">
        <v>48</v>
      </c>
      <c r="F49" s="5" t="s">
        <v>2</v>
      </c>
      <c r="G49" s="8">
        <v>30.0</v>
      </c>
      <c r="H49" s="9">
        <f>detail_avancement!B49</f>
        <v>30</v>
      </c>
      <c r="I49" s="8">
        <v>0.0</v>
      </c>
      <c r="J49" s="10">
        <f>IFERROR(ROUND(H49/(H49+I49),2), "")</f>
        <v>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conditionalFormatting sqref="J2:J27 J29:J30 J32:J40 J42:J47 J49:J293">
    <cfRule type="cellIs" dxfId="0" priority="1" operator="equal">
      <formula>1</formula>
    </cfRule>
  </conditionalFormatting>
  <conditionalFormatting sqref="J2:J27 J29:J30 J32:J40 J42:J47 J49:J293">
    <cfRule type="cellIs" dxfId="1" priority="2" operator="between">
      <formula>0.6</formula>
      <formula>0.9</formula>
    </cfRule>
  </conditionalFormatting>
  <conditionalFormatting sqref="J2:J27 J29:J30 J32:J40 J42:J47 J49:J293">
    <cfRule type="cellIs" dxfId="2" priority="3" operator="between">
      <formula>0.3</formula>
      <formula>0.6</formula>
    </cfRule>
  </conditionalFormatting>
  <conditionalFormatting sqref="J2:J27 J29:J30 J32:J40 J42:J47 J49:J293">
    <cfRule type="cellIs" dxfId="3" priority="4" operator="lessThan">
      <formula>0.3</formula>
    </cfRule>
  </conditionalFormatting>
  <conditionalFormatting sqref="J2:J27 J29:J30 J32:J40 J42:J47 J49:J293">
    <cfRule type="containsBlanks" dxfId="4" priority="5">
      <formula>LEN(TRIM(J2))=0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  <col customWidth="1" min="3" max="3" width="17.38"/>
    <col customWidth="1" min="4" max="4" width="17.0"/>
    <col customWidth="1" min="5" max="5" width="21.0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85</v>
      </c>
      <c r="B1" s="29" t="s">
        <v>86</v>
      </c>
      <c r="C1" s="30">
        <v>46110.0</v>
      </c>
      <c r="D1" s="30">
        <v>46111.0</v>
      </c>
      <c r="E1" s="30">
        <v>46112.0</v>
      </c>
    </row>
    <row r="2">
      <c r="A2" s="31">
        <v>2.0</v>
      </c>
      <c r="B2" s="32">
        <f t="shared" ref="B2:B13" si="1">SUM(C2:Z2)</f>
        <v>10</v>
      </c>
      <c r="C2" s="33">
        <v>10.0</v>
      </c>
    </row>
    <row r="3">
      <c r="A3" s="31">
        <f t="shared" ref="A3:A20" si="2">A2+1</f>
        <v>3</v>
      </c>
      <c r="B3" s="32">
        <f t="shared" si="1"/>
        <v>15</v>
      </c>
      <c r="C3" s="33">
        <v>15.0</v>
      </c>
    </row>
    <row r="4">
      <c r="A4" s="31">
        <f t="shared" si="2"/>
        <v>4</v>
      </c>
      <c r="B4" s="32">
        <f t="shared" si="1"/>
        <v>15</v>
      </c>
      <c r="C4" s="33">
        <v>15.0</v>
      </c>
    </row>
    <row r="5">
      <c r="A5" s="31">
        <f t="shared" si="2"/>
        <v>5</v>
      </c>
      <c r="B5" s="32">
        <f t="shared" si="1"/>
        <v>10</v>
      </c>
      <c r="C5" s="33">
        <v>10.0</v>
      </c>
    </row>
    <row r="6">
      <c r="A6" s="31">
        <f t="shared" si="2"/>
        <v>6</v>
      </c>
      <c r="B6" s="32">
        <f t="shared" si="1"/>
        <v>15</v>
      </c>
      <c r="C6" s="34"/>
      <c r="D6" s="35">
        <v>15.0</v>
      </c>
    </row>
    <row r="7">
      <c r="A7" s="31">
        <f t="shared" si="2"/>
        <v>7</v>
      </c>
      <c r="B7" s="32">
        <f t="shared" si="1"/>
        <v>15</v>
      </c>
      <c r="C7" s="34"/>
      <c r="D7" s="35">
        <v>15.0</v>
      </c>
    </row>
    <row r="8">
      <c r="A8" s="31">
        <f t="shared" si="2"/>
        <v>8</v>
      </c>
      <c r="B8" s="32">
        <f t="shared" si="1"/>
        <v>10</v>
      </c>
      <c r="C8" s="34"/>
      <c r="D8" s="35">
        <v>10.0</v>
      </c>
    </row>
    <row r="9">
      <c r="A9" s="31">
        <f t="shared" si="2"/>
        <v>9</v>
      </c>
      <c r="B9" s="32">
        <f t="shared" si="1"/>
        <v>3</v>
      </c>
      <c r="C9" s="34"/>
      <c r="D9" s="35">
        <v>3.0</v>
      </c>
    </row>
    <row r="10">
      <c r="A10" s="31">
        <f t="shared" si="2"/>
        <v>10</v>
      </c>
      <c r="B10" s="32">
        <f t="shared" si="1"/>
        <v>7</v>
      </c>
      <c r="C10" s="33">
        <v>7.0</v>
      </c>
    </row>
    <row r="11">
      <c r="A11" s="31">
        <f t="shared" si="2"/>
        <v>11</v>
      </c>
      <c r="B11" s="32">
        <f t="shared" si="1"/>
        <v>17</v>
      </c>
      <c r="C11" s="33">
        <v>2.0</v>
      </c>
      <c r="D11" s="35">
        <v>15.0</v>
      </c>
    </row>
    <row r="12">
      <c r="A12" s="31">
        <f t="shared" si="2"/>
        <v>12</v>
      </c>
      <c r="B12" s="32">
        <f t="shared" si="1"/>
        <v>5</v>
      </c>
      <c r="C12" s="33">
        <v>5.0</v>
      </c>
    </row>
    <row r="13">
      <c r="A13" s="31">
        <f t="shared" si="2"/>
        <v>13</v>
      </c>
      <c r="B13" s="32">
        <f t="shared" si="1"/>
        <v>0</v>
      </c>
    </row>
    <row r="14">
      <c r="A14" s="31">
        <f t="shared" si="2"/>
        <v>14</v>
      </c>
      <c r="B14" s="36">
        <v>40.0</v>
      </c>
      <c r="C14" s="35">
        <v>20.0</v>
      </c>
      <c r="D14" s="35">
        <v>20.0</v>
      </c>
    </row>
    <row r="15">
      <c r="A15" s="31">
        <f t="shared" si="2"/>
        <v>15</v>
      </c>
      <c r="B15" s="32">
        <f t="shared" ref="B15:B20" si="3">SUM(C15:Z15)</f>
        <v>20</v>
      </c>
      <c r="D15" s="35">
        <v>20.0</v>
      </c>
    </row>
    <row r="16">
      <c r="A16" s="31">
        <f t="shared" si="2"/>
        <v>16</v>
      </c>
      <c r="B16" s="32">
        <f t="shared" si="3"/>
        <v>10</v>
      </c>
      <c r="D16" s="35">
        <v>10.0</v>
      </c>
    </row>
    <row r="17">
      <c r="A17" s="31">
        <f t="shared" si="2"/>
        <v>17</v>
      </c>
      <c r="B17" s="32">
        <f t="shared" si="3"/>
        <v>5</v>
      </c>
      <c r="D17" s="35">
        <v>5.0</v>
      </c>
    </row>
    <row r="18">
      <c r="A18" s="31">
        <f t="shared" si="2"/>
        <v>18</v>
      </c>
      <c r="B18" s="32">
        <f t="shared" si="3"/>
        <v>10</v>
      </c>
      <c r="D18" s="35">
        <v>10.0</v>
      </c>
    </row>
    <row r="19">
      <c r="A19" s="31">
        <f t="shared" si="2"/>
        <v>19</v>
      </c>
      <c r="B19" s="32">
        <f t="shared" si="3"/>
        <v>2</v>
      </c>
      <c r="D19" s="35">
        <v>2.0</v>
      </c>
    </row>
    <row r="20">
      <c r="A20" s="31">
        <f t="shared" si="2"/>
        <v>20</v>
      </c>
      <c r="B20" s="32">
        <f t="shared" si="3"/>
        <v>10</v>
      </c>
      <c r="D20" s="35">
        <v>10.0</v>
      </c>
    </row>
    <row r="22">
      <c r="A22" s="37">
        <v>22.0</v>
      </c>
      <c r="B22" s="32">
        <f t="shared" ref="B22:B27" si="4">SUM(C22:Z22)</f>
        <v>3</v>
      </c>
      <c r="E22" s="25">
        <v>3.0</v>
      </c>
    </row>
    <row r="23">
      <c r="A23" s="31">
        <f t="shared" ref="A23:A27" si="5">A22+1</f>
        <v>23</v>
      </c>
      <c r="B23" s="32">
        <f t="shared" si="4"/>
        <v>3</v>
      </c>
      <c r="E23" s="25">
        <v>3.0</v>
      </c>
    </row>
    <row r="24">
      <c r="A24" s="31">
        <f t="shared" si="5"/>
        <v>24</v>
      </c>
      <c r="B24" s="32">
        <f t="shared" si="4"/>
        <v>2</v>
      </c>
      <c r="E24" s="25">
        <v>2.0</v>
      </c>
    </row>
    <row r="25">
      <c r="A25" s="31">
        <f t="shared" si="5"/>
        <v>25</v>
      </c>
      <c r="B25" s="32">
        <f t="shared" si="4"/>
        <v>10</v>
      </c>
      <c r="E25" s="25">
        <v>10.0</v>
      </c>
    </row>
    <row r="26">
      <c r="A26" s="31">
        <f t="shared" si="5"/>
        <v>26</v>
      </c>
      <c r="B26" s="32">
        <f t="shared" si="4"/>
        <v>10</v>
      </c>
      <c r="E26" s="25">
        <v>10.0</v>
      </c>
    </row>
    <row r="27">
      <c r="A27" s="31">
        <f t="shared" si="5"/>
        <v>27</v>
      </c>
      <c r="B27" s="32">
        <f t="shared" si="4"/>
        <v>10</v>
      </c>
      <c r="E27" s="25">
        <v>10.0</v>
      </c>
    </row>
    <row r="29">
      <c r="A29" s="37">
        <v>29.0</v>
      </c>
      <c r="B29" s="32">
        <f t="shared" ref="B29:B30" si="6">SUM(D29:Z29)</f>
        <v>20</v>
      </c>
      <c r="D29" s="35">
        <v>20.0</v>
      </c>
    </row>
    <row r="30">
      <c r="A30" s="31">
        <f>A29+1</f>
        <v>30</v>
      </c>
      <c r="B30" s="32">
        <f t="shared" si="6"/>
        <v>15</v>
      </c>
      <c r="D30" s="35">
        <v>15.0</v>
      </c>
    </row>
    <row r="32">
      <c r="A32" s="37">
        <v>32.0</v>
      </c>
      <c r="B32" s="32">
        <f t="shared" ref="B32:B34" si="7">SUM(D32:Z32)</f>
        <v>20</v>
      </c>
      <c r="D32" s="35">
        <v>20.0</v>
      </c>
    </row>
    <row r="33">
      <c r="A33" s="31">
        <f t="shared" ref="A33:A34" si="8">A32+1</f>
        <v>33</v>
      </c>
      <c r="B33" s="32">
        <f t="shared" si="7"/>
        <v>25</v>
      </c>
      <c r="D33" s="35">
        <v>25.0</v>
      </c>
    </row>
    <row r="34">
      <c r="A34" s="31">
        <f t="shared" si="8"/>
        <v>34</v>
      </c>
      <c r="B34" s="32">
        <f t="shared" si="7"/>
        <v>35</v>
      </c>
      <c r="D34" s="35">
        <v>35.0</v>
      </c>
    </row>
    <row r="36">
      <c r="A36" s="37">
        <v>36.0</v>
      </c>
      <c r="B36" s="32">
        <f t="shared" ref="B36:B40" si="9">SUM(D36:Z36)</f>
        <v>5</v>
      </c>
      <c r="E36" s="35">
        <v>5.0</v>
      </c>
    </row>
    <row r="37">
      <c r="A37" s="31">
        <f t="shared" ref="A37:A40" si="10">A36+1</f>
        <v>37</v>
      </c>
      <c r="B37" s="32">
        <f t="shared" si="9"/>
        <v>5</v>
      </c>
      <c r="E37" s="35">
        <v>5.0</v>
      </c>
    </row>
    <row r="38">
      <c r="A38" s="31">
        <f t="shared" si="10"/>
        <v>38</v>
      </c>
      <c r="B38" s="32">
        <f t="shared" si="9"/>
        <v>5</v>
      </c>
      <c r="E38" s="35">
        <v>5.0</v>
      </c>
    </row>
    <row r="39">
      <c r="A39" s="31">
        <f t="shared" si="10"/>
        <v>39</v>
      </c>
      <c r="B39" s="32">
        <f t="shared" si="9"/>
        <v>5</v>
      </c>
      <c r="E39" s="35">
        <v>5.0</v>
      </c>
    </row>
    <row r="40">
      <c r="A40" s="31">
        <f t="shared" si="10"/>
        <v>40</v>
      </c>
      <c r="B40" s="32">
        <f t="shared" si="9"/>
        <v>5</v>
      </c>
      <c r="E40" s="35">
        <v>5.0</v>
      </c>
    </row>
    <row r="42">
      <c r="A42" s="37">
        <v>42.0</v>
      </c>
      <c r="B42" s="32">
        <f>SUM(D42:Z42)</f>
        <v>3</v>
      </c>
      <c r="E42" s="35">
        <v>3.0</v>
      </c>
    </row>
    <row r="44">
      <c r="A44" s="37">
        <v>44.0</v>
      </c>
      <c r="B44" s="32">
        <f t="shared" ref="B44:B47" si="11">SUM(D44:Z44)</f>
        <v>3</v>
      </c>
      <c r="E44" s="35">
        <v>3.0</v>
      </c>
    </row>
    <row r="45">
      <c r="A45" s="31">
        <f t="shared" ref="A45:A47" si="12">A44+1</f>
        <v>45</v>
      </c>
      <c r="B45" s="32">
        <f t="shared" si="11"/>
        <v>5</v>
      </c>
      <c r="E45" s="35">
        <v>5.0</v>
      </c>
    </row>
    <row r="46">
      <c r="A46" s="31">
        <f t="shared" si="12"/>
        <v>46</v>
      </c>
      <c r="B46" s="32">
        <f t="shared" si="11"/>
        <v>5</v>
      </c>
      <c r="E46" s="35">
        <v>5.0</v>
      </c>
    </row>
    <row r="47">
      <c r="A47" s="31">
        <f t="shared" si="12"/>
        <v>47</v>
      </c>
      <c r="B47" s="32">
        <f t="shared" si="11"/>
        <v>10</v>
      </c>
      <c r="E47" s="35">
        <v>10.0</v>
      </c>
    </row>
    <row r="49">
      <c r="A49" s="37">
        <v>49.0</v>
      </c>
      <c r="B49" s="32">
        <f>SUM(D49:Z49)</f>
        <v>30</v>
      </c>
      <c r="E49" s="35">
        <v>30.0</v>
      </c>
    </row>
  </sheetData>
  <drawing r:id="rId1"/>
</worksheet>
</file>